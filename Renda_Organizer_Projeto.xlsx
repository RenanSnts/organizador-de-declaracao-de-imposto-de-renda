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enan\Documents\Eu\ESTUDO\EXCEL\Organizador_IR\"/>
    </mc:Choice>
  </mc:AlternateContent>
  <xr:revisionPtr revIDLastSave="0" documentId="13_ncr:1_{3995E48D-909D-4D94-B977-92C53E6A9416}" xr6:coauthVersionLast="47" xr6:coauthVersionMax="47" xr10:uidLastSave="{00000000-0000-0000-0000-000000000000}"/>
  <bookViews>
    <workbookView xWindow="-120" yWindow="-120" windowWidth="29040" windowHeight="15720" xr2:uid="{F85BC857-893B-44CA-889B-C5A76C506582}"/>
  </bookViews>
  <sheets>
    <sheet name="TITULAR" sheetId="1" r:id="rId1"/>
    <sheet name="INFORMES" sheetId="4" r:id="rId2"/>
    <sheet name="NOTAS" sheetId="5" r:id="rId3"/>
    <sheet name="TABE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5" l="1"/>
  <c r="C22" i="4"/>
</calcChain>
</file>

<file path=xl/sharedStrings.xml><?xml version="1.0" encoding="utf-8"?>
<sst xmlns="http://schemas.openxmlformats.org/spreadsheetml/2006/main" count="126" uniqueCount="94">
  <si>
    <t>NOME</t>
  </si>
  <si>
    <t>CPF</t>
  </si>
  <si>
    <t xml:space="preserve">NASCIMENTO 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</si>
  <si>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</si>
  <si>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</si>
  <si>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</si>
  <si>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</si>
  <si>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</si>
  <si>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</si>
  <si>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</si>
  <si>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</si>
  <si>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CÔNJUGE</t>
  </si>
  <si>
    <t>RESIDENTE DO EXTERIOR</t>
  </si>
  <si>
    <t>1. DADOS DO TITULAR</t>
  </si>
  <si>
    <t>PREENCHA OS DADOS DA SUA PESSOA FISÍCA ABAIXO</t>
  </si>
  <si>
    <t>SIM</t>
  </si>
  <si>
    <t>NÃO</t>
  </si>
  <si>
    <t>JORGE AUGUSTO SILVEIRA</t>
  </si>
  <si>
    <t>TÍTULO DE ELEITOR</t>
  </si>
  <si>
    <t>simponto@gmail.com</t>
  </si>
  <si>
    <t>2. INFORMES DE RENDIMENTOS BANCÁRIOS</t>
  </si>
  <si>
    <t>BANCO</t>
  </si>
  <si>
    <t>VALOR ATUAL</t>
  </si>
  <si>
    <t>ANEXO</t>
  </si>
  <si>
    <t>RENDA.PDF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</si>
  <si>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</si>
  <si>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</si>
  <si>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</si>
  <si>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</si>
  <si>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</si>
  <si>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</si>
  <si>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</si>
  <si>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</si>
  <si>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</si>
  <si>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</si>
  <si>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</si>
  <si>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</si>
  <si>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</si>
  <si>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</si>
  <si>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</si>
  <si>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</si>
  <si>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</si>
  <si>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</si>
  <si>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</si>
  <si>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</si>
  <si>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</si>
  <si>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</si>
  <si>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</si>
  <si>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</si>
  <si>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</si>
  <si>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</si>
  <si>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</si>
  <si>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</si>
  <si>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</si>
  <si>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</si>
  <si>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</si>
  <si>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</si>
  <si>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</si>
  <si>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</si>
  <si>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</si>
  <si>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</si>
  <si>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</si>
  <si>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</si>
  <si>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</si>
  <si>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</si>
  <si>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</si>
  <si>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</si>
  <si>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</si>
  <si>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</si>
  <si>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</si>
  <si>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</si>
  <si>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</si>
  <si>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</si>
  <si>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</si>
  <si>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</si>
  <si>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LISTA BANCOS</t>
  </si>
  <si>
    <t>1° Banco</t>
  </si>
  <si>
    <t>2° Banco</t>
  </si>
  <si>
    <t>3° Banco</t>
  </si>
  <si>
    <t>TOTAL</t>
  </si>
  <si>
    <t>3. NOTAS BANCÁRIAS OU EXTRATOS DE HOLERITES</t>
  </si>
  <si>
    <t>São todos os valores de entrada mês a mês de receita</t>
  </si>
  <si>
    <t>DATA</t>
  </si>
  <si>
    <t>CATEGORIA</t>
  </si>
  <si>
    <t>VALOR</t>
  </si>
  <si>
    <t>ENTRADAS</t>
  </si>
  <si>
    <t>CNPJ</t>
  </si>
  <si>
    <t>FREELANCE</t>
  </si>
  <si>
    <t>HOLERITE</t>
  </si>
  <si>
    <t>Rua dos Limoeiros,  - N°180</t>
  </si>
  <si>
    <t>R. dos Limoeiros - N°180</t>
  </si>
  <si>
    <t>MILENA CAMPAZ</t>
  </si>
  <si>
    <t>BANCO.PDF</t>
  </si>
  <si>
    <t>HBMR.PDF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</si>
</sst>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00&quot;.&quot;000&quot;.&quot;000&quot;-&quot;00"/>
    <numFmt numFmtId="171" formatCode="00000\-000"/>
    <numFmt numFmtId="173" formatCode="&quot;(&quot;00&quot;)&quot;0000&quot;-&quot;0000"/>
    <numFmt numFmtId="175" formatCode="&quot;(&quot;00&quot;)&quot;00000&quot;-&quot;0000"/>
    <numFmt numFmtId="176" formatCode="&quot;R$&quot;\ #,##0.00"/>
    <numFmt numFmtId="177" formatCode="mmmm\-yyyy"/>
  </numFmts>
  <fonts count="1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Bauhaus 93"/>
      <family val="5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sz val="12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0"/>
      <name val="Segoe UI"/>
      <family val="2"/>
    </font>
    <font>
      <sz val="12"/>
      <color rgb="FF04394E"/>
      <name val="Aptos Narrow"/>
      <family val="2"/>
      <scheme val="minor"/>
    </font>
    <font>
      <u/>
      <sz val="12"/>
      <color rgb="FF04394E"/>
      <name val="Aptos Narrow"/>
      <family val="2"/>
      <scheme val="minor"/>
    </font>
    <font>
      <b/>
      <sz val="18"/>
      <color rgb="FF04394E"/>
      <name val="Aptos Narrow"/>
      <family val="2"/>
      <scheme val="minor"/>
    </font>
    <font>
      <sz val="11"/>
      <color rgb="FF04394E"/>
      <name val="Aptos Narrow"/>
      <family val="2"/>
      <scheme val="minor"/>
    </font>
    <font>
      <b/>
      <sz val="14"/>
      <color rgb="FF04394E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4394E"/>
        <bgColor indexed="64"/>
      </patternFill>
    </fill>
    <fill>
      <patternFill patternType="solid">
        <fgColor rgb="FFA7CC1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ck">
        <color theme="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6" fillId="0" borderId="0" xfId="0" applyFont="1"/>
    <xf numFmtId="0" fontId="1" fillId="0" borderId="1" xfId="1" applyFill="1" applyBorder="1"/>
    <xf numFmtId="0" fontId="1" fillId="0" borderId="1" xfId="1" applyBorder="1"/>
    <xf numFmtId="0" fontId="8" fillId="0" borderId="1" xfId="1" applyFont="1" applyFill="1" applyBorder="1"/>
    <xf numFmtId="0" fontId="3" fillId="4" borderId="0" xfId="0" applyFont="1" applyFill="1"/>
    <xf numFmtId="0" fontId="7" fillId="3" borderId="3" xfId="0" applyFont="1" applyFill="1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0" fillId="5" borderId="0" xfId="0" applyFill="1"/>
    <xf numFmtId="0" fontId="0" fillId="0" borderId="11" xfId="0" applyBorder="1"/>
    <xf numFmtId="0" fontId="4" fillId="5" borderId="0" xfId="0" applyFont="1" applyFill="1"/>
    <xf numFmtId="0" fontId="0" fillId="5" borderId="0" xfId="0" applyFill="1" applyAlignment="1">
      <alignment horizontal="left" vertical="center" indent="3"/>
    </xf>
    <xf numFmtId="0" fontId="12" fillId="6" borderId="2" xfId="2" applyFont="1" applyFill="1" applyBorder="1" applyAlignment="1" applyProtection="1">
      <alignment horizontal="left"/>
      <protection locked="0"/>
    </xf>
    <xf numFmtId="168" fontId="12" fillId="6" borderId="2" xfId="2" applyNumberFormat="1" applyFont="1" applyFill="1" applyBorder="1" applyAlignment="1" applyProtection="1">
      <alignment horizontal="left"/>
      <protection locked="0"/>
    </xf>
    <xf numFmtId="14" fontId="12" fillId="6" borderId="2" xfId="2" applyNumberFormat="1" applyFont="1" applyFill="1" applyBorder="1" applyAlignment="1" applyProtection="1">
      <alignment horizontal="left"/>
      <protection locked="0"/>
    </xf>
    <xf numFmtId="171" fontId="12" fillId="6" borderId="2" xfId="2" applyNumberFormat="1" applyFont="1" applyFill="1" applyBorder="1" applyAlignment="1" applyProtection="1">
      <alignment horizontal="left"/>
      <protection locked="0"/>
    </xf>
    <xf numFmtId="173" fontId="12" fillId="6" borderId="2" xfId="2" applyNumberFormat="1" applyFont="1" applyFill="1" applyBorder="1" applyAlignment="1" applyProtection="1">
      <alignment horizontal="left"/>
      <protection locked="0"/>
    </xf>
    <xf numFmtId="175" fontId="12" fillId="6" borderId="2" xfId="2" applyNumberFormat="1" applyFont="1" applyFill="1" applyBorder="1" applyAlignment="1" applyProtection="1">
      <alignment horizontal="left"/>
      <protection locked="0"/>
    </xf>
    <xf numFmtId="0" fontId="13" fillId="6" borderId="2" xfId="3" applyFont="1" applyFill="1" applyBorder="1" applyAlignment="1" applyProtection="1">
      <alignment horizontal="left"/>
      <protection locked="0"/>
    </xf>
    <xf numFmtId="0" fontId="11" fillId="5" borderId="2" xfId="0" applyFont="1" applyFill="1" applyBorder="1" applyAlignment="1">
      <alignment horizontal="left"/>
    </xf>
    <xf numFmtId="0" fontId="14" fillId="0" borderId="1" xfId="1" applyFont="1" applyFill="1" applyBorder="1"/>
    <xf numFmtId="0" fontId="9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1" fillId="5" borderId="2" xfId="0" applyFont="1" applyFill="1" applyBorder="1"/>
    <xf numFmtId="0" fontId="15" fillId="0" borderId="0" xfId="0" applyFont="1"/>
    <xf numFmtId="176" fontId="16" fillId="6" borderId="0" xfId="2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0" fontId="11" fillId="5" borderId="0" xfId="0" applyFont="1" applyFill="1" applyBorder="1" applyAlignment="1">
      <alignment horizontal="center" vertical="center"/>
    </xf>
    <xf numFmtId="177" fontId="7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/>
    </xf>
    <xf numFmtId="0" fontId="16" fillId="0" borderId="0" xfId="0" applyFont="1" applyAlignment="1">
      <alignment horizontal="left" indent="3"/>
    </xf>
    <xf numFmtId="0" fontId="0" fillId="0" borderId="0" xfId="0" applyProtection="1">
      <protection locked="0"/>
    </xf>
    <xf numFmtId="176" fontId="12" fillId="6" borderId="2" xfId="2" applyNumberFormat="1" applyFont="1" applyFill="1" applyBorder="1" applyAlignment="1" applyProtection="1">
      <alignment horizontal="left"/>
      <protection locked="0"/>
    </xf>
    <xf numFmtId="0" fontId="0" fillId="5" borderId="0" xfId="0" applyFill="1" applyProtection="1">
      <protection locked="0"/>
    </xf>
    <xf numFmtId="177" fontId="7" fillId="0" borderId="4" xfId="0" applyNumberFormat="1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76" fontId="0" fillId="0" borderId="6" xfId="0" applyNumberFormat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76" fontId="0" fillId="0" borderId="8" xfId="0" applyNumberFormat="1" applyBorder="1" applyAlignment="1" applyProtection="1">
      <alignment horizontal="center"/>
      <protection locked="0"/>
    </xf>
    <xf numFmtId="177" fontId="7" fillId="0" borderId="7" xfId="0" applyNumberFormat="1" applyFon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176" fontId="0" fillId="0" borderId="10" xfId="0" applyNumberFormat="1" applyBorder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numFmt numFmtId="176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04394E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colors>
    <mruColors>
      <color rgb="FF04394E"/>
      <color rgb="FFA7CC15"/>
      <color rgb="FFF5CC17"/>
      <color rgb="FFFF9934"/>
      <color rgb="FF00875E"/>
      <color rgb="FFF56217"/>
      <color rgb="FFCDE54E"/>
      <color rgb="FFB3C631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renan-santos27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renan-santos27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renan-santos27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392206</xdr:colOff>
      <xdr:row>4</xdr:row>
      <xdr:rowOff>123405</xdr:rowOff>
    </xdr:from>
    <xdr:to>
      <xdr:col>0</xdr:col>
      <xdr:colOff>2640106</xdr:colOff>
      <xdr:row>14</xdr:row>
      <xdr:rowOff>163746</xdr:rowOff>
    </xdr:to>
    <xdr:pic>
      <xdr:nvPicPr>
        <xdr:cNvPr id="3" name="Gráfico 2" descr="Dinheiro com preenchimento sólido">
          <a:extLst>
            <a:ext uri="{FF2B5EF4-FFF2-40B4-BE49-F238E27FC236}">
              <a16:creationId xmlns:a16="http://schemas.microsoft.com/office/drawing/2014/main" id="{5BC798E4-30EE-330D-CA9F-4BEA49064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2206" y="1098317"/>
          <a:ext cx="2247900" cy="22479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95250</xdr:rowOff>
    </xdr:from>
    <xdr:to>
      <xdr:col>1</xdr:col>
      <xdr:colOff>152400</xdr:colOff>
      <xdr:row>4</xdr:row>
      <xdr:rowOff>39781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C4C810C-C556-A2C2-817E-DC390B3EBBF5}"/>
            </a:ext>
          </a:extLst>
        </xdr:cNvPr>
        <xdr:cNvSpPr/>
      </xdr:nvSpPr>
      <xdr:spPr>
        <a:xfrm>
          <a:off x="0" y="95250"/>
          <a:ext cx="3032312" cy="9194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154081</xdr:colOff>
      <xdr:row>15</xdr:row>
      <xdr:rowOff>23253</xdr:rowOff>
    </xdr:from>
    <xdr:to>
      <xdr:col>0</xdr:col>
      <xdr:colOff>2878231</xdr:colOff>
      <xdr:row>18</xdr:row>
      <xdr:rowOff>65276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857F06-AD99-77B1-EDBA-89E5227F6779}"/>
            </a:ext>
          </a:extLst>
        </xdr:cNvPr>
        <xdr:cNvSpPr/>
      </xdr:nvSpPr>
      <xdr:spPr>
        <a:xfrm>
          <a:off x="154081" y="3429841"/>
          <a:ext cx="2724150" cy="714376"/>
        </a:xfrm>
        <a:prstGeom prst="roundRect">
          <a:avLst>
            <a:gd name="adj" fmla="val 50000"/>
          </a:avLst>
        </a:prstGeom>
        <a:solidFill>
          <a:srgbClr val="F5CC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800">
            <a:solidFill>
              <a:srgbClr val="04394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18</xdr:row>
      <xdr:rowOff>148900</xdr:rowOff>
    </xdr:from>
    <xdr:to>
      <xdr:col>1</xdr:col>
      <xdr:colOff>0</xdr:colOff>
      <xdr:row>22</xdr:row>
      <xdr:rowOff>67658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116E92-27B9-4F9F-B8C0-B2F062A8FF32}"/>
            </a:ext>
          </a:extLst>
        </xdr:cNvPr>
        <xdr:cNvSpPr/>
      </xdr:nvSpPr>
      <xdr:spPr>
        <a:xfrm>
          <a:off x="152400" y="4227841"/>
          <a:ext cx="2727512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22</xdr:row>
      <xdr:rowOff>151282</xdr:rowOff>
    </xdr:from>
    <xdr:to>
      <xdr:col>1</xdr:col>
      <xdr:colOff>0</xdr:colOff>
      <xdr:row>26</xdr:row>
      <xdr:rowOff>103658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D86E0C-F92C-49FC-B015-C2BF23C5910E}"/>
            </a:ext>
          </a:extLst>
        </xdr:cNvPr>
        <xdr:cNvSpPr/>
      </xdr:nvSpPr>
      <xdr:spPr>
        <a:xfrm>
          <a:off x="152400" y="5025841"/>
          <a:ext cx="2727512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1308100</xdr:colOff>
      <xdr:row>29</xdr:row>
      <xdr:rowOff>83484</xdr:rowOff>
    </xdr:from>
    <xdr:to>
      <xdr:col>0</xdr:col>
      <xdr:colOff>1727200</xdr:colOff>
      <xdr:row>31</xdr:row>
      <xdr:rowOff>121584</xdr:rowOff>
    </xdr:to>
    <xdr:pic>
      <xdr:nvPicPr>
        <xdr:cNvPr id="10" name="icon_link" descr="LinkedIn App Icon SVG Vector &amp; PNG Free Download | UXWi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0A07360-569C-FFC1-6872-FFF6AE5F73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992" t="5243" r="9105" b="10851"/>
        <a:stretch>
          <a:fillRect/>
        </a:stretch>
      </xdr:blipFill>
      <xdr:spPr>
        <a:xfrm>
          <a:off x="1308100" y="6286500"/>
          <a:ext cx="419100" cy="419100"/>
        </a:xfrm>
        <a:prstGeom prst="rect">
          <a:avLst/>
        </a:prstGeom>
      </xdr:spPr>
    </xdr:pic>
    <xdr:clientData/>
  </xdr:twoCellAnchor>
  <xdr:twoCellAnchor editAs="absolute">
    <xdr:from>
      <xdr:col>0</xdr:col>
      <xdr:colOff>739869</xdr:colOff>
      <xdr:row>27</xdr:row>
      <xdr:rowOff>89928</xdr:rowOff>
    </xdr:from>
    <xdr:to>
      <xdr:col>0</xdr:col>
      <xdr:colOff>2292444</xdr:colOff>
      <xdr:row>29</xdr:row>
      <xdr:rowOff>175653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1376EF9-8AC1-044F-F91F-AA3A5DBED5E9}"/>
            </a:ext>
          </a:extLst>
        </xdr:cNvPr>
        <xdr:cNvSpPr/>
      </xdr:nvSpPr>
      <xdr:spPr>
        <a:xfrm>
          <a:off x="739869" y="5916987"/>
          <a:ext cx="15525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RENAN</a:t>
          </a:r>
          <a:endParaRPr lang="pt-BR" sz="1100"/>
        </a:p>
      </xdr:txBody>
    </xdr:sp>
    <xdr:clientData/>
  </xdr:twoCellAnchor>
  <xdr:twoCellAnchor editAs="absolute">
    <xdr:from>
      <xdr:col>0</xdr:col>
      <xdr:colOff>277906</xdr:colOff>
      <xdr:row>26</xdr:row>
      <xdr:rowOff>187281</xdr:rowOff>
    </xdr:from>
    <xdr:to>
      <xdr:col>0</xdr:col>
      <xdr:colOff>2754406</xdr:colOff>
      <xdr:row>27</xdr:row>
      <xdr:rowOff>6306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12C6D38A-1F60-8BC0-C8FD-0263F1F29568}"/>
            </a:ext>
          </a:extLst>
        </xdr:cNvPr>
        <xdr:cNvCxnSpPr/>
      </xdr:nvCxnSpPr>
      <xdr:spPr>
        <a:xfrm flipV="1">
          <a:off x="277906" y="5823840"/>
          <a:ext cx="24765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</xdr:row>
      <xdr:rowOff>11206</xdr:rowOff>
    </xdr:from>
    <xdr:to>
      <xdr:col>3</xdr:col>
      <xdr:colOff>3451411</xdr:colOff>
      <xdr:row>22</xdr:row>
      <xdr:rowOff>100853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40B910-1380-CF2E-B1A5-278F9E2EF850}"/>
            </a:ext>
          </a:extLst>
        </xdr:cNvPr>
        <xdr:cNvSpPr/>
      </xdr:nvSpPr>
      <xdr:spPr>
        <a:xfrm>
          <a:off x="7239000" y="4504765"/>
          <a:ext cx="3260911" cy="470647"/>
        </a:xfrm>
        <a:prstGeom prst="roundRect">
          <a:avLst>
            <a:gd name="adj" fmla="val 0"/>
          </a:avLst>
        </a:prstGeom>
        <a:solidFill>
          <a:srgbClr val="F5CC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0</xdr:colOff>
      <xdr:row>0</xdr:row>
      <xdr:rowOff>95250</xdr:rowOff>
    </xdr:from>
    <xdr:to>
      <xdr:col>1</xdr:col>
      <xdr:colOff>0</xdr:colOff>
      <xdr:row>4</xdr:row>
      <xdr:rowOff>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59B31125-5165-49C6-9C93-09B0999AD45C}"/>
            </a:ext>
          </a:extLst>
        </xdr:cNvPr>
        <xdr:cNvSpPr/>
      </xdr:nvSpPr>
      <xdr:spPr>
        <a:xfrm>
          <a:off x="0" y="95250"/>
          <a:ext cx="2879912" cy="879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5CC17"/>
              </a:solidFill>
              <a:latin typeface="Arial Black" panose="020B0A04020102020204" pitchFamily="34" charset="0"/>
            </a:rPr>
            <a:t>RENDA</a:t>
          </a:r>
          <a:r>
            <a:rPr lang="pt-BR" sz="2000" b="1" baseline="0">
              <a:solidFill>
                <a:srgbClr val="F5CC17"/>
              </a:solidFill>
              <a:latin typeface="Arial Black" panose="020B0A04020102020204" pitchFamily="34" charset="0"/>
            </a:rPr>
            <a:t> ORGANIZER</a:t>
          </a:r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392206</xdr:colOff>
      <xdr:row>4</xdr:row>
      <xdr:rowOff>121537</xdr:rowOff>
    </xdr:from>
    <xdr:to>
      <xdr:col>0</xdr:col>
      <xdr:colOff>2640106</xdr:colOff>
      <xdr:row>15</xdr:row>
      <xdr:rowOff>49820</xdr:rowOff>
    </xdr:to>
    <xdr:pic>
      <xdr:nvPicPr>
        <xdr:cNvPr id="2" name="Gráfico 1" descr="Dinheiro com preenchimento sólido">
          <a:extLst>
            <a:ext uri="{FF2B5EF4-FFF2-40B4-BE49-F238E27FC236}">
              <a16:creationId xmlns:a16="http://schemas.microsoft.com/office/drawing/2014/main" id="{A16FAD97-93CF-4FC8-98E1-AB3B50956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2206" y="1096449"/>
          <a:ext cx="2247900" cy="22479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95251</xdr:rowOff>
    </xdr:from>
    <xdr:to>
      <xdr:col>1</xdr:col>
      <xdr:colOff>0</xdr:colOff>
      <xdr:row>4</xdr:row>
      <xdr:rowOff>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16D44D3-4A4A-4FF1-8770-0E64609084BC}"/>
            </a:ext>
          </a:extLst>
        </xdr:cNvPr>
        <xdr:cNvSpPr/>
      </xdr:nvSpPr>
      <xdr:spPr>
        <a:xfrm>
          <a:off x="0" y="95251"/>
          <a:ext cx="2879912" cy="879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5CC17"/>
              </a:solidFill>
              <a:latin typeface="Arial Black" panose="020B0A04020102020204" pitchFamily="34" charset="0"/>
            </a:rPr>
            <a:t>RENDA</a:t>
          </a:r>
          <a:r>
            <a:rPr lang="pt-BR" sz="2000" b="1" baseline="0">
              <a:solidFill>
                <a:srgbClr val="F5CC17"/>
              </a:solidFill>
              <a:latin typeface="Arial Black" panose="020B0A04020102020204" pitchFamily="34" charset="0"/>
            </a:rPr>
            <a:t> ORGANIZER</a:t>
          </a:r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154081</xdr:colOff>
      <xdr:row>15</xdr:row>
      <xdr:rowOff>131576</xdr:rowOff>
    </xdr:from>
    <xdr:to>
      <xdr:col>0</xdr:col>
      <xdr:colOff>2878231</xdr:colOff>
      <xdr:row>18</xdr:row>
      <xdr:rowOff>207216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E7EA6A-00A5-4D4C-9A63-0806289F5212}"/>
            </a:ext>
          </a:extLst>
        </xdr:cNvPr>
        <xdr:cNvSpPr/>
      </xdr:nvSpPr>
      <xdr:spPr>
        <a:xfrm>
          <a:off x="154081" y="3426105"/>
          <a:ext cx="2724150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19</xdr:row>
      <xdr:rowOff>64855</xdr:rowOff>
    </xdr:from>
    <xdr:to>
      <xdr:col>1</xdr:col>
      <xdr:colOff>0</xdr:colOff>
      <xdr:row>22</xdr:row>
      <xdr:rowOff>118084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B6E663-FC39-45F8-AE34-1C9D047DB3A7}"/>
            </a:ext>
          </a:extLst>
        </xdr:cNvPr>
        <xdr:cNvSpPr/>
      </xdr:nvSpPr>
      <xdr:spPr>
        <a:xfrm>
          <a:off x="152400" y="4222237"/>
          <a:ext cx="2727512" cy="714376"/>
        </a:xfrm>
        <a:prstGeom prst="roundRect">
          <a:avLst>
            <a:gd name="adj" fmla="val 50000"/>
          </a:avLst>
        </a:prstGeom>
        <a:solidFill>
          <a:srgbClr val="F5CC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23</xdr:row>
      <xdr:rowOff>9340</xdr:rowOff>
    </xdr:from>
    <xdr:to>
      <xdr:col>1</xdr:col>
      <xdr:colOff>0</xdr:colOff>
      <xdr:row>26</xdr:row>
      <xdr:rowOff>152216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55F8F2-4144-4A47-BABF-3063E9346B32}"/>
            </a:ext>
          </a:extLst>
        </xdr:cNvPr>
        <xdr:cNvSpPr/>
      </xdr:nvSpPr>
      <xdr:spPr>
        <a:xfrm>
          <a:off x="152400" y="5018369"/>
          <a:ext cx="2727512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739869</xdr:colOff>
      <xdr:row>27</xdr:row>
      <xdr:rowOff>134752</xdr:rowOff>
    </xdr:from>
    <xdr:to>
      <xdr:col>0</xdr:col>
      <xdr:colOff>2292444</xdr:colOff>
      <xdr:row>30</xdr:row>
      <xdr:rowOff>29977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E225C1B6-CF69-417F-B18C-1592EEACD735}"/>
            </a:ext>
          </a:extLst>
        </xdr:cNvPr>
        <xdr:cNvSpPr/>
      </xdr:nvSpPr>
      <xdr:spPr>
        <a:xfrm>
          <a:off x="739869" y="5905781"/>
          <a:ext cx="15525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RENAN</a:t>
          </a:r>
          <a:endParaRPr lang="pt-BR" sz="1100"/>
        </a:p>
      </xdr:txBody>
    </xdr:sp>
    <xdr:clientData/>
  </xdr:twoCellAnchor>
  <xdr:twoCellAnchor editAs="absolute">
    <xdr:from>
      <xdr:col>0</xdr:col>
      <xdr:colOff>277906</xdr:colOff>
      <xdr:row>27</xdr:row>
      <xdr:rowOff>43472</xdr:rowOff>
    </xdr:from>
    <xdr:to>
      <xdr:col>0</xdr:col>
      <xdr:colOff>2754406</xdr:colOff>
      <xdr:row>27</xdr:row>
      <xdr:rowOff>52997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421AA0FE-E080-40AD-B55A-D3CFA75D385D}"/>
            </a:ext>
          </a:extLst>
        </xdr:cNvPr>
        <xdr:cNvCxnSpPr/>
      </xdr:nvCxnSpPr>
      <xdr:spPr>
        <a:xfrm flipV="1">
          <a:off x="277906" y="5814501"/>
          <a:ext cx="24765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1306606</xdr:colOff>
      <xdr:row>29</xdr:row>
      <xdr:rowOff>139514</xdr:rowOff>
    </xdr:from>
    <xdr:to>
      <xdr:col>0</xdr:col>
      <xdr:colOff>1725706</xdr:colOff>
      <xdr:row>31</xdr:row>
      <xdr:rowOff>177614</xdr:rowOff>
    </xdr:to>
    <xdr:pic>
      <xdr:nvPicPr>
        <xdr:cNvPr id="10" name="icon_link" descr="LinkedIn App Icon SVG Vector &amp; PNG Free Download | UXWi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CBFCCF-FF60-4C8E-A3B5-D0228D420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992" t="5243" r="9105" b="10851"/>
        <a:stretch>
          <a:fillRect/>
        </a:stretch>
      </xdr:blipFill>
      <xdr:spPr>
        <a:xfrm>
          <a:off x="1306606" y="6291543"/>
          <a:ext cx="419100" cy="419100"/>
        </a:xfrm>
        <a:prstGeom prst="rect">
          <a:avLst/>
        </a:prstGeom>
      </xdr:spPr>
    </xdr:pic>
    <xdr:clientData/>
  </xdr:twoCellAnchor>
  <xdr:twoCellAnchor editAs="absolute">
    <xdr:from>
      <xdr:col>3</xdr:col>
      <xdr:colOff>156884</xdr:colOff>
      <xdr:row>23</xdr:row>
      <xdr:rowOff>33618</xdr:rowOff>
    </xdr:from>
    <xdr:to>
      <xdr:col>3</xdr:col>
      <xdr:colOff>3473824</xdr:colOff>
      <xdr:row>25</xdr:row>
      <xdr:rowOff>123265</xdr:rowOff>
    </xdr:to>
    <xdr:sp macro="" textlink="">
      <xdr:nvSpPr>
        <xdr:cNvPr id="14" name="Retângulo: Cantos Arredondado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A68854-6382-4295-A977-09B517658017}"/>
            </a:ext>
          </a:extLst>
        </xdr:cNvPr>
        <xdr:cNvSpPr/>
      </xdr:nvSpPr>
      <xdr:spPr>
        <a:xfrm>
          <a:off x="7205384" y="5042647"/>
          <a:ext cx="3316940" cy="470647"/>
        </a:xfrm>
        <a:prstGeom prst="roundRect">
          <a:avLst>
            <a:gd name="adj" fmla="val 0"/>
          </a:avLst>
        </a:prstGeom>
        <a:solidFill>
          <a:srgbClr val="F5CC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2</xdr:col>
      <xdr:colOff>156883</xdr:colOff>
      <xdr:row>23</xdr:row>
      <xdr:rowOff>33617</xdr:rowOff>
    </xdr:from>
    <xdr:to>
      <xdr:col>3</xdr:col>
      <xdr:colOff>0</xdr:colOff>
      <xdr:row>25</xdr:row>
      <xdr:rowOff>123264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160EA1-1A26-40D9-89EC-84BABA05A500}"/>
            </a:ext>
          </a:extLst>
        </xdr:cNvPr>
        <xdr:cNvSpPr/>
      </xdr:nvSpPr>
      <xdr:spPr>
        <a:xfrm>
          <a:off x="3641912" y="5042646"/>
          <a:ext cx="3406588" cy="470647"/>
        </a:xfrm>
        <a:prstGeom prst="roundRect">
          <a:avLst>
            <a:gd name="adj" fmla="val 0"/>
          </a:avLst>
        </a:prstGeom>
        <a:solidFill>
          <a:srgbClr val="F5CC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04394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ANTERIOR</a:t>
          </a:r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392206</xdr:colOff>
      <xdr:row>4</xdr:row>
      <xdr:rowOff>121537</xdr:rowOff>
    </xdr:from>
    <xdr:to>
      <xdr:col>0</xdr:col>
      <xdr:colOff>2640106</xdr:colOff>
      <xdr:row>15</xdr:row>
      <xdr:rowOff>150673</xdr:rowOff>
    </xdr:to>
    <xdr:pic>
      <xdr:nvPicPr>
        <xdr:cNvPr id="2" name="Gráfico 1" descr="Dinheiro com preenchimento sólido">
          <a:extLst>
            <a:ext uri="{FF2B5EF4-FFF2-40B4-BE49-F238E27FC236}">
              <a16:creationId xmlns:a16="http://schemas.microsoft.com/office/drawing/2014/main" id="{43E7442B-ED00-448F-BA66-CDDB5CFAE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2206" y="1096449"/>
          <a:ext cx="2247900" cy="22479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95250</xdr:rowOff>
    </xdr:from>
    <xdr:to>
      <xdr:col>1</xdr:col>
      <xdr:colOff>152400</xdr:colOff>
      <xdr:row>4</xdr:row>
      <xdr:rowOff>39781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6EA715-B634-4A74-A0C8-31AB6176D790}"/>
            </a:ext>
          </a:extLst>
        </xdr:cNvPr>
        <xdr:cNvSpPr/>
      </xdr:nvSpPr>
      <xdr:spPr>
        <a:xfrm>
          <a:off x="0" y="95250"/>
          <a:ext cx="3032312" cy="9194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154081</xdr:colOff>
      <xdr:row>16</xdr:row>
      <xdr:rowOff>30723</xdr:rowOff>
    </xdr:from>
    <xdr:to>
      <xdr:col>0</xdr:col>
      <xdr:colOff>2878231</xdr:colOff>
      <xdr:row>19</xdr:row>
      <xdr:rowOff>139981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B7AE4B-D87D-44A1-83BA-9EBF76E91C94}"/>
            </a:ext>
          </a:extLst>
        </xdr:cNvPr>
        <xdr:cNvSpPr/>
      </xdr:nvSpPr>
      <xdr:spPr>
        <a:xfrm>
          <a:off x="154081" y="3426105"/>
          <a:ext cx="2724150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20</xdr:row>
      <xdr:rowOff>20031</xdr:rowOff>
    </xdr:from>
    <xdr:to>
      <xdr:col>1</xdr:col>
      <xdr:colOff>0</xdr:colOff>
      <xdr:row>23</xdr:row>
      <xdr:rowOff>129289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E5E40A-1950-4B90-8DD3-ABFB663E9F3A}"/>
            </a:ext>
          </a:extLst>
        </xdr:cNvPr>
        <xdr:cNvSpPr/>
      </xdr:nvSpPr>
      <xdr:spPr>
        <a:xfrm>
          <a:off x="152400" y="4222237"/>
          <a:ext cx="2727512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24</xdr:row>
      <xdr:rowOff>9340</xdr:rowOff>
    </xdr:from>
    <xdr:to>
      <xdr:col>1</xdr:col>
      <xdr:colOff>0</xdr:colOff>
      <xdr:row>27</xdr:row>
      <xdr:rowOff>118598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09F542-8546-4679-94CA-5C028CAD5B83}"/>
            </a:ext>
          </a:extLst>
        </xdr:cNvPr>
        <xdr:cNvSpPr/>
      </xdr:nvSpPr>
      <xdr:spPr>
        <a:xfrm>
          <a:off x="152400" y="5018369"/>
          <a:ext cx="2727512" cy="714376"/>
        </a:xfrm>
        <a:prstGeom prst="roundRect">
          <a:avLst>
            <a:gd name="adj" fmla="val 50000"/>
          </a:avLst>
        </a:prstGeom>
        <a:solidFill>
          <a:srgbClr val="F5CC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739869</xdr:colOff>
      <xdr:row>28</xdr:row>
      <xdr:rowOff>89928</xdr:rowOff>
    </xdr:from>
    <xdr:to>
      <xdr:col>0</xdr:col>
      <xdr:colOff>2292444</xdr:colOff>
      <xdr:row>30</xdr:row>
      <xdr:rowOff>153241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B4DCB04-9B57-4EB5-84D7-3A000863BF91}"/>
            </a:ext>
          </a:extLst>
        </xdr:cNvPr>
        <xdr:cNvSpPr/>
      </xdr:nvSpPr>
      <xdr:spPr>
        <a:xfrm>
          <a:off x="739869" y="5905781"/>
          <a:ext cx="15525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RENAN</a:t>
          </a:r>
          <a:endParaRPr lang="pt-BR" sz="1100"/>
        </a:p>
      </xdr:txBody>
    </xdr:sp>
    <xdr:clientData/>
  </xdr:twoCellAnchor>
  <xdr:twoCellAnchor editAs="absolute">
    <xdr:from>
      <xdr:col>0</xdr:col>
      <xdr:colOff>277906</xdr:colOff>
      <xdr:row>27</xdr:row>
      <xdr:rowOff>200354</xdr:rowOff>
    </xdr:from>
    <xdr:to>
      <xdr:col>0</xdr:col>
      <xdr:colOff>2754406</xdr:colOff>
      <xdr:row>28</xdr:row>
      <xdr:rowOff>8173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705E6D0D-3D8B-436D-BB3D-6E0C59CC3DD9}"/>
            </a:ext>
          </a:extLst>
        </xdr:cNvPr>
        <xdr:cNvCxnSpPr/>
      </xdr:nvCxnSpPr>
      <xdr:spPr>
        <a:xfrm flipV="1">
          <a:off x="277906" y="5814501"/>
          <a:ext cx="24765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1308100</xdr:colOff>
      <xdr:row>30</xdr:row>
      <xdr:rowOff>72278</xdr:rowOff>
    </xdr:from>
    <xdr:to>
      <xdr:col>0</xdr:col>
      <xdr:colOff>1727200</xdr:colOff>
      <xdr:row>32</xdr:row>
      <xdr:rowOff>87967</xdr:rowOff>
    </xdr:to>
    <xdr:pic>
      <xdr:nvPicPr>
        <xdr:cNvPr id="10" name="icon_link" descr="LinkedIn App Icon SVG Vector &amp; PNG Free Download | UXWi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0F9070C-C336-47F1-9B3C-F9BCD66A55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992" t="5243" r="9105" b="10851"/>
        <a:stretch>
          <a:fillRect/>
        </a:stretch>
      </xdr:blipFill>
      <xdr:spPr>
        <a:xfrm>
          <a:off x="1308100" y="6286500"/>
          <a:ext cx="419100" cy="419100"/>
        </a:xfrm>
        <a:prstGeom prst="rect">
          <a:avLst/>
        </a:prstGeom>
      </xdr:spPr>
    </xdr:pic>
    <xdr:clientData/>
  </xdr:twoCellAnchor>
  <xdr:twoCellAnchor editAs="absolute">
    <xdr:from>
      <xdr:col>1</xdr:col>
      <xdr:colOff>605116</xdr:colOff>
      <xdr:row>35</xdr:row>
      <xdr:rowOff>11206</xdr:rowOff>
    </xdr:from>
    <xdr:to>
      <xdr:col>3</xdr:col>
      <xdr:colOff>1074422</xdr:colOff>
      <xdr:row>37</xdr:row>
      <xdr:rowOff>101806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6A050-4E1E-6416-032B-94196CEDB7C2}"/>
            </a:ext>
          </a:extLst>
        </xdr:cNvPr>
        <xdr:cNvSpPr/>
      </xdr:nvSpPr>
      <xdr:spPr>
        <a:xfrm>
          <a:off x="3485028" y="7295030"/>
          <a:ext cx="3315600" cy="471600"/>
        </a:xfrm>
        <a:prstGeom prst="rect">
          <a:avLst/>
        </a:prstGeom>
        <a:solidFill>
          <a:srgbClr val="F5CC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0</xdr:row>
      <xdr:rowOff>95250</xdr:rowOff>
    </xdr:from>
    <xdr:to>
      <xdr:col>1</xdr:col>
      <xdr:colOff>0</xdr:colOff>
      <xdr:row>4</xdr:row>
      <xdr:rowOff>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77649D7A-6A9E-435F-8355-FF8BE1D3F8FB}"/>
            </a:ext>
          </a:extLst>
        </xdr:cNvPr>
        <xdr:cNvSpPr/>
      </xdr:nvSpPr>
      <xdr:spPr>
        <a:xfrm>
          <a:off x="0" y="95250"/>
          <a:ext cx="2879912" cy="879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5CC17"/>
              </a:solidFill>
              <a:latin typeface="Arial Black" panose="020B0A04020102020204" pitchFamily="34" charset="0"/>
            </a:rPr>
            <a:t>RENDA</a:t>
          </a:r>
          <a:r>
            <a:rPr lang="pt-BR" sz="2000" b="1" baseline="0">
              <a:solidFill>
                <a:srgbClr val="F5CC17"/>
              </a:solidFill>
              <a:latin typeface="Arial Black" panose="020B0A04020102020204" pitchFamily="34" charset="0"/>
            </a:rPr>
            <a:t> ORGANIZER</a:t>
          </a:r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FD224-13D7-4C03-97CB-928E71F47D11}" name="Entradas" displayName="Entradas" ref="C8:E31" totalsRowShown="0" headerRowDxfId="4" dataDxfId="0">
  <autoFilter ref="C8:E31" xr:uid="{4C2FD224-13D7-4C03-97CB-928E71F47D11}"/>
  <sortState xmlns:xlrd2="http://schemas.microsoft.com/office/spreadsheetml/2017/richdata2" ref="C9:E31">
    <sortCondition ref="C8:C31"/>
  </sortState>
  <tableColumns count="3">
    <tableColumn id="1" xr3:uid="{8B884534-5A9F-4EC0-99CE-2BF0109BCA44}" name="DATA" dataDxfId="3"/>
    <tableColumn id="2" xr3:uid="{4A4B1267-07DB-4EBC-934D-0C281E87819C}" name="CATEGORIA" dataDxfId="2"/>
    <tableColumn id="3" xr3:uid="{3346ECCC-1550-453A-8BF7-E6F144296FB6}" name="VALOR" dataDxfId="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impont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17D7-D8D3-4A30-86D1-E20457298289}">
  <sheetPr codeName="Planilha1"/>
  <dimension ref="A3:E19"/>
  <sheetViews>
    <sheetView showGridLines="0" showRowColHeaders="0" tabSelected="1" zoomScale="85" zoomScaleNormal="85" workbookViewId="0"/>
  </sheetViews>
  <sheetFormatPr defaultRowHeight="15" x14ac:dyDescent="0.25"/>
  <cols>
    <col min="1" max="1" width="43.140625" style="8" customWidth="1"/>
    <col min="3" max="3" width="53.42578125" customWidth="1"/>
    <col min="4" max="4" width="54" customWidth="1"/>
  </cols>
  <sheetData>
    <row r="3" spans="1:5" ht="24.75" customHeight="1" thickBot="1" x14ac:dyDescent="0.45">
      <c r="A3" s="10"/>
      <c r="C3" s="20" t="s">
        <v>13</v>
      </c>
      <c r="D3" s="2"/>
      <c r="E3" s="3"/>
    </row>
    <row r="4" spans="1:5" s="7" customFormat="1" ht="21.95" customHeight="1" thickTop="1" x14ac:dyDescent="0.25">
      <c r="A4" s="11"/>
      <c r="C4" s="6" t="s">
        <v>14</v>
      </c>
      <c r="D4" s="6"/>
      <c r="E4" s="6"/>
    </row>
    <row r="6" spans="1:5" ht="17.25" x14ac:dyDescent="0.3">
      <c r="C6" s="19" t="s">
        <v>0</v>
      </c>
      <c r="D6" s="12" t="s">
        <v>17</v>
      </c>
    </row>
    <row r="7" spans="1:5" ht="17.25" x14ac:dyDescent="0.3">
      <c r="C7" s="19" t="s">
        <v>1</v>
      </c>
      <c r="D7" s="13">
        <v>76584270129</v>
      </c>
    </row>
    <row r="8" spans="1:5" ht="17.25" x14ac:dyDescent="0.3">
      <c r="C8" s="19" t="s">
        <v>2</v>
      </c>
      <c r="D8" s="14">
        <v>31957</v>
      </c>
    </row>
    <row r="9" spans="1:5" ht="17.25" x14ac:dyDescent="0.3">
      <c r="C9" s="19" t="s">
        <v>18</v>
      </c>
      <c r="D9" s="12">
        <v>3171389280</v>
      </c>
    </row>
    <row r="10" spans="1:5" ht="17.25" x14ac:dyDescent="0.3">
      <c r="C10" s="19" t="s">
        <v>11</v>
      </c>
      <c r="D10" s="12" t="s">
        <v>91</v>
      </c>
      <c r="E10" s="1"/>
    </row>
    <row r="11" spans="1:5" ht="17.25" x14ac:dyDescent="0.3">
      <c r="C11" s="19" t="s">
        <v>3</v>
      </c>
      <c r="D11" s="12" t="s">
        <v>89</v>
      </c>
    </row>
    <row r="12" spans="1:5" ht="17.25" x14ac:dyDescent="0.3">
      <c r="C12" s="19" t="s">
        <v>4</v>
      </c>
      <c r="D12" s="12" t="s">
        <v>90</v>
      </c>
    </row>
    <row r="13" spans="1:5" ht="17.25" x14ac:dyDescent="0.3">
      <c r="C13" s="19" t="s">
        <v>5</v>
      </c>
      <c r="D13" s="15">
        <v>987654321</v>
      </c>
    </row>
    <row r="14" spans="1:5" ht="17.25" x14ac:dyDescent="0.3">
      <c r="C14" s="19" t="s">
        <v>6</v>
      </c>
      <c r="D14" s="16">
        <v>1140028922</v>
      </c>
    </row>
    <row r="15" spans="1:5" ht="17.25" x14ac:dyDescent="0.3">
      <c r="C15" s="19" t="s">
        <v>7</v>
      </c>
      <c r="D15" s="17">
        <v>11912345678</v>
      </c>
    </row>
    <row r="16" spans="1:5" ht="17.25" x14ac:dyDescent="0.3">
      <c r="C16" s="19" t="s">
        <v>8</v>
      </c>
      <c r="D16" s="18" t="s">
        <v>19</v>
      </c>
    </row>
    <row r="17" spans="3:4" ht="17.25" x14ac:dyDescent="0.3">
      <c r="C17" s="19" t="s">
        <v>9</v>
      </c>
      <c r="D17" s="12" t="s">
        <v>16</v>
      </c>
    </row>
    <row r="18" spans="3:4" ht="17.25" x14ac:dyDescent="0.3">
      <c r="C18" s="19" t="s">
        <v>10</v>
      </c>
      <c r="D18" s="12" t="s">
        <v>15</v>
      </c>
    </row>
    <row r="19" spans="3:4" ht="17.25" x14ac:dyDescent="0.3">
      <c r="C19" s="19" t="s">
        <v>12</v>
      </c>
      <c r="D19" s="12" t="s">
        <v>16</v>
      </c>
    </row>
  </sheetData>
  <sheetProtection selectLockedCells="1"/>
  <mergeCells count="1">
    <mergeCell ref="C4:E4"/>
  </mergeCells>
  <dataValidations count="1">
    <dataValidation type="list" allowBlank="1" showInputMessage="1" showErrorMessage="1" sqref="D17:D19" xr:uid="{1EBCF4F2-D3C3-454E-A4CE-EA631E15E0C4}">
      <formula1>"SIM,NÃO"</formula1>
    </dataValidation>
  </dataValidations>
  <hyperlinks>
    <hyperlink ref="D16" r:id="rId1" xr:uid="{BA348966-5747-4E86-A749-AE5EE158D0A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857-4E7C-4FBF-A723-A60059393457}">
  <sheetPr codeName="Planilha2"/>
  <dimension ref="A3:K22"/>
  <sheetViews>
    <sheetView showGridLines="0" zoomScale="85" zoomScaleNormal="85" workbookViewId="0"/>
  </sheetViews>
  <sheetFormatPr defaultRowHeight="15" x14ac:dyDescent="0.25"/>
  <cols>
    <col min="1" max="1" width="43.140625" style="8" customWidth="1"/>
    <col min="3" max="3" width="53.42578125" customWidth="1"/>
    <col min="4" max="4" width="54" customWidth="1"/>
  </cols>
  <sheetData>
    <row r="3" spans="1:8" ht="24.75" customHeight="1" thickBot="1" x14ac:dyDescent="0.45">
      <c r="A3" s="10"/>
      <c r="C3" s="4" t="s">
        <v>20</v>
      </c>
      <c r="D3" s="2"/>
      <c r="E3" s="3"/>
    </row>
    <row r="4" spans="1:8" s="7" customFormat="1" ht="21.95" customHeight="1" thickTop="1" x14ac:dyDescent="0.25">
      <c r="A4" s="11"/>
      <c r="C4" s="6" t="s">
        <v>14</v>
      </c>
      <c r="D4" s="6"/>
      <c r="E4" s="6"/>
    </row>
    <row r="5" spans="1:8" ht="16.5" customHeight="1" x14ac:dyDescent="0.25"/>
    <row r="6" spans="1:8" x14ac:dyDescent="0.25">
      <c r="C6" t="s">
        <v>76</v>
      </c>
    </row>
    <row r="7" spans="1:8" ht="17.25" x14ac:dyDescent="0.3">
      <c r="C7" s="19" t="s">
        <v>21</v>
      </c>
      <c r="D7" s="12" t="s">
        <v>51</v>
      </c>
    </row>
    <row r="8" spans="1:8" ht="17.25" x14ac:dyDescent="0.3">
      <c r="C8" s="19" t="s">
        <v>22</v>
      </c>
      <c r="D8" s="33">
        <v>200000</v>
      </c>
    </row>
    <row r="9" spans="1:8" ht="17.25" x14ac:dyDescent="0.3">
      <c r="C9" s="23" t="s">
        <v>23</v>
      </c>
      <c r="D9" s="12" t="s">
        <v>24</v>
      </c>
    </row>
    <row r="11" spans="1:8" x14ac:dyDescent="0.25">
      <c r="C11" t="s">
        <v>77</v>
      </c>
    </row>
    <row r="12" spans="1:8" ht="17.25" x14ac:dyDescent="0.3">
      <c r="C12" s="19" t="s">
        <v>21</v>
      </c>
      <c r="D12" s="12" t="s">
        <v>50</v>
      </c>
    </row>
    <row r="13" spans="1:8" ht="17.25" x14ac:dyDescent="0.3">
      <c r="C13" s="19" t="s">
        <v>22</v>
      </c>
      <c r="D13" s="33">
        <v>75000</v>
      </c>
    </row>
    <row r="14" spans="1:8" ht="17.25" x14ac:dyDescent="0.3">
      <c r="C14" s="23" t="s">
        <v>23</v>
      </c>
      <c r="D14" s="12" t="s">
        <v>92</v>
      </c>
      <c r="H14" s="24"/>
    </row>
    <row r="16" spans="1:8" x14ac:dyDescent="0.25">
      <c r="C16" t="s">
        <v>78</v>
      </c>
    </row>
    <row r="17" spans="3:11" ht="17.25" x14ac:dyDescent="0.3">
      <c r="C17" s="19" t="s">
        <v>21</v>
      </c>
      <c r="D17" s="12" t="s">
        <v>58</v>
      </c>
    </row>
    <row r="18" spans="3:11" ht="17.25" x14ac:dyDescent="0.3">
      <c r="C18" s="19" t="s">
        <v>22</v>
      </c>
      <c r="D18" s="33">
        <v>25000</v>
      </c>
    </row>
    <row r="19" spans="3:11" ht="17.25" x14ac:dyDescent="0.3">
      <c r="C19" s="23" t="s">
        <v>23</v>
      </c>
      <c r="D19" s="12" t="s">
        <v>93</v>
      </c>
    </row>
    <row r="21" spans="3:11" ht="18.75" x14ac:dyDescent="0.3">
      <c r="C21" s="26" t="s">
        <v>79</v>
      </c>
      <c r="D21" s="26"/>
    </row>
    <row r="22" spans="3:11" ht="18.75" x14ac:dyDescent="0.3">
      <c r="C22" s="25">
        <f>SUM(D8,D13,D18)</f>
        <v>300000</v>
      </c>
      <c r="D22" s="25"/>
      <c r="K22" s="32"/>
    </row>
  </sheetData>
  <mergeCells count="3">
    <mergeCell ref="C4:E4"/>
    <mergeCell ref="C22:D22"/>
    <mergeCell ref="C21:D2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Banco não encontrado. informe um banco na lista." promptTitle="Informe seu banco" prompt="Informe o banco no qual seu CPF está vinculado." xr:uid="{18EA0114-C480-4D81-B981-9A7A53ED22DE}">
          <x14:formula1>
            <xm:f>TABELAS!$A$2:$A$51</xm:f>
          </x14:formula1>
          <xm:sqref>D7 D12 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1099-491F-4F53-A459-78D7C6273A59}">
  <sheetPr codeName="Planilha3"/>
  <dimension ref="A1:G34"/>
  <sheetViews>
    <sheetView showGridLines="0" zoomScale="85" zoomScaleNormal="85" workbookViewId="0"/>
  </sheetViews>
  <sheetFormatPr defaultRowHeight="15" x14ac:dyDescent="0.25"/>
  <cols>
    <col min="1" max="1" width="43.140625" style="8" customWidth="1"/>
    <col min="3" max="3" width="33.5703125" customWidth="1"/>
    <col min="4" max="4" width="39.7109375" customWidth="1"/>
    <col min="5" max="5" width="24.42578125" customWidth="1"/>
  </cols>
  <sheetData>
    <row r="1" spans="1:7" x14ac:dyDescent="0.25">
      <c r="A1" s="34"/>
    </row>
    <row r="3" spans="1:7" ht="24.75" customHeight="1" thickBot="1" x14ac:dyDescent="0.45">
      <c r="A3" s="10"/>
      <c r="C3" s="4" t="s">
        <v>80</v>
      </c>
      <c r="D3" s="2"/>
    </row>
    <row r="4" spans="1:7" ht="21.95" customHeight="1" thickTop="1" x14ac:dyDescent="0.25">
      <c r="C4" s="6" t="s">
        <v>81</v>
      </c>
      <c r="D4" s="6"/>
      <c r="E4" s="6"/>
    </row>
    <row r="6" spans="1:7" ht="10.5" customHeight="1" x14ac:dyDescent="0.25"/>
    <row r="7" spans="1:7" ht="20.25" customHeight="1" x14ac:dyDescent="0.25">
      <c r="C7" s="21" t="s">
        <v>85</v>
      </c>
      <c r="D7" s="22"/>
      <c r="E7" s="22"/>
    </row>
    <row r="8" spans="1:7" ht="17.25" x14ac:dyDescent="0.25">
      <c r="C8" s="27" t="s">
        <v>82</v>
      </c>
      <c r="D8" s="27" t="s">
        <v>83</v>
      </c>
      <c r="E8" s="27" t="s">
        <v>84</v>
      </c>
    </row>
    <row r="9" spans="1:7" ht="15.75" x14ac:dyDescent="0.25">
      <c r="C9" s="35">
        <v>46158</v>
      </c>
      <c r="D9" s="36" t="s">
        <v>88</v>
      </c>
      <c r="E9" s="37">
        <v>15000</v>
      </c>
    </row>
    <row r="10" spans="1:7" ht="15.75" x14ac:dyDescent="0.25">
      <c r="C10" s="35">
        <v>46219</v>
      </c>
      <c r="D10" s="38" t="s">
        <v>88</v>
      </c>
      <c r="E10" s="39">
        <v>15000</v>
      </c>
    </row>
    <row r="11" spans="1:7" ht="15.75" x14ac:dyDescent="0.25">
      <c r="C11" s="35">
        <v>46235</v>
      </c>
      <c r="D11" s="38" t="s">
        <v>88</v>
      </c>
      <c r="E11" s="39">
        <v>7</v>
      </c>
    </row>
    <row r="12" spans="1:7" ht="15.75" x14ac:dyDescent="0.25">
      <c r="C12" s="35">
        <v>46239</v>
      </c>
      <c r="D12" s="38" t="s">
        <v>88</v>
      </c>
      <c r="E12" s="39">
        <v>15000</v>
      </c>
    </row>
    <row r="13" spans="1:7" ht="15.75" x14ac:dyDescent="0.25">
      <c r="C13" s="35">
        <v>46246</v>
      </c>
      <c r="D13" s="38" t="s">
        <v>87</v>
      </c>
      <c r="E13" s="39">
        <v>140</v>
      </c>
    </row>
    <row r="14" spans="1:7" ht="15.75" x14ac:dyDescent="0.25">
      <c r="C14" s="35">
        <v>46283</v>
      </c>
      <c r="D14" s="40" t="s">
        <v>86</v>
      </c>
      <c r="E14" s="39">
        <v>15000</v>
      </c>
    </row>
    <row r="15" spans="1:7" ht="15.75" x14ac:dyDescent="0.25">
      <c r="C15" s="35">
        <v>46290</v>
      </c>
      <c r="D15" s="38" t="s">
        <v>86</v>
      </c>
      <c r="E15" s="39">
        <v>2000</v>
      </c>
      <c r="G15" s="9"/>
    </row>
    <row r="16" spans="1:7" ht="15.75" x14ac:dyDescent="0.25">
      <c r="C16" s="35">
        <v>46312</v>
      </c>
      <c r="D16" s="38" t="s">
        <v>86</v>
      </c>
      <c r="E16" s="39">
        <v>3000</v>
      </c>
    </row>
    <row r="17" spans="3:5" ht="15.75" x14ac:dyDescent="0.25">
      <c r="C17" s="35">
        <v>46315</v>
      </c>
      <c r="D17" s="38" t="s">
        <v>87</v>
      </c>
      <c r="E17" s="39">
        <v>540.76</v>
      </c>
    </row>
    <row r="18" spans="3:5" ht="15.75" x14ac:dyDescent="0.25">
      <c r="C18" s="35">
        <v>46326</v>
      </c>
      <c r="D18" s="38" t="s">
        <v>88</v>
      </c>
      <c r="E18" s="39">
        <v>15000</v>
      </c>
    </row>
    <row r="19" spans="3:5" ht="15.75" x14ac:dyDescent="0.25">
      <c r="C19" s="35">
        <v>46328</v>
      </c>
      <c r="D19" s="38" t="s">
        <v>87</v>
      </c>
      <c r="E19" s="39">
        <v>341.68</v>
      </c>
    </row>
    <row r="20" spans="3:5" ht="15.75" x14ac:dyDescent="0.25">
      <c r="C20" s="35">
        <v>46329</v>
      </c>
      <c r="D20" s="38" t="s">
        <v>87</v>
      </c>
      <c r="E20" s="39">
        <v>112.2</v>
      </c>
    </row>
    <row r="21" spans="3:5" ht="15.75" x14ac:dyDescent="0.25">
      <c r="C21" s="35">
        <v>46333</v>
      </c>
      <c r="D21" s="38" t="s">
        <v>88</v>
      </c>
      <c r="E21" s="39">
        <v>15000</v>
      </c>
    </row>
    <row r="22" spans="3:5" ht="15.75" x14ac:dyDescent="0.25">
      <c r="C22" s="35">
        <v>46334</v>
      </c>
      <c r="D22" s="38" t="s">
        <v>86</v>
      </c>
      <c r="E22" s="39">
        <v>2000</v>
      </c>
    </row>
    <row r="23" spans="3:5" ht="15.75" x14ac:dyDescent="0.25">
      <c r="C23" s="35">
        <v>46336</v>
      </c>
      <c r="D23" s="38" t="s">
        <v>86</v>
      </c>
      <c r="E23" s="39">
        <v>1450.75</v>
      </c>
    </row>
    <row r="24" spans="3:5" ht="15.75" x14ac:dyDescent="0.25">
      <c r="C24" s="35">
        <v>46356</v>
      </c>
      <c r="D24" s="38" t="s">
        <v>87</v>
      </c>
      <c r="E24" s="39">
        <v>85</v>
      </c>
    </row>
    <row r="25" spans="3:5" ht="15.75" x14ac:dyDescent="0.25">
      <c r="C25" s="35">
        <v>46360</v>
      </c>
      <c r="D25" s="38" t="s">
        <v>87</v>
      </c>
      <c r="E25" s="39">
        <v>42</v>
      </c>
    </row>
    <row r="26" spans="3:5" ht="15.75" x14ac:dyDescent="0.25">
      <c r="C26" s="35">
        <v>46363</v>
      </c>
      <c r="D26" s="38" t="s">
        <v>87</v>
      </c>
      <c r="E26" s="39">
        <v>120</v>
      </c>
    </row>
    <row r="27" spans="3:5" ht="15.75" x14ac:dyDescent="0.25">
      <c r="C27" s="35">
        <v>46377</v>
      </c>
      <c r="D27" s="38" t="s">
        <v>88</v>
      </c>
      <c r="E27" s="39">
        <v>15000</v>
      </c>
    </row>
    <row r="28" spans="3:5" ht="15.75" x14ac:dyDescent="0.25">
      <c r="C28" s="35">
        <v>46381</v>
      </c>
      <c r="D28" s="38" t="s">
        <v>86</v>
      </c>
      <c r="E28" s="39">
        <v>2507.8000000000002</v>
      </c>
    </row>
    <row r="29" spans="3:5" ht="15.75" x14ac:dyDescent="0.25">
      <c r="C29" s="35">
        <v>46388</v>
      </c>
      <c r="D29" s="38" t="s">
        <v>87</v>
      </c>
      <c r="E29" s="39">
        <v>100</v>
      </c>
    </row>
    <row r="30" spans="3:5" ht="15.75" x14ac:dyDescent="0.25">
      <c r="C30" s="35">
        <v>46390</v>
      </c>
      <c r="D30" s="38" t="s">
        <v>86</v>
      </c>
      <c r="E30" s="39">
        <v>1870</v>
      </c>
    </row>
    <row r="31" spans="3:5" ht="15.75" x14ac:dyDescent="0.25">
      <c r="C31" s="35">
        <v>46402</v>
      </c>
      <c r="D31" s="41" t="s">
        <v>88</v>
      </c>
      <c r="E31" s="42">
        <v>15000</v>
      </c>
    </row>
    <row r="32" spans="3:5" ht="15.75" x14ac:dyDescent="0.25">
      <c r="C32" s="28"/>
      <c r="D32" s="29"/>
      <c r="E32" s="30"/>
    </row>
    <row r="33" spans="3:5" ht="18.75" x14ac:dyDescent="0.3">
      <c r="C33" s="31" t="s">
        <v>79</v>
      </c>
      <c r="D33" s="31"/>
      <c r="E33" s="31"/>
    </row>
    <row r="34" spans="3:5" ht="18.75" x14ac:dyDescent="0.3">
      <c r="C34" s="25">
        <f>SUM(Entradas[VALOR])</f>
        <v>134317.19</v>
      </c>
      <c r="D34" s="25"/>
      <c r="E34" s="25"/>
    </row>
  </sheetData>
  <sheetProtection sheet="1" objects="1" scenarios="1"/>
  <mergeCells count="4">
    <mergeCell ref="C4:E4"/>
    <mergeCell ref="C7:E7"/>
    <mergeCell ref="C34:E34"/>
    <mergeCell ref="C33:E33"/>
  </mergeCells>
  <dataValidations count="1">
    <dataValidation type="list" allowBlank="1" showInputMessage="1" showErrorMessage="1" sqref="D9:D31" xr:uid="{2609EE74-4C89-4098-8014-C1F8CCEBBACB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82D7-A66B-4181-8705-39258A1ABB29}">
  <dimension ref="A1:A51"/>
  <sheetViews>
    <sheetView showGridLines="0" workbookViewId="0">
      <selection activeCell="A8" sqref="A8"/>
    </sheetView>
  </sheetViews>
  <sheetFormatPr defaultRowHeight="15" x14ac:dyDescent="0.25"/>
  <cols>
    <col min="1" max="1" width="39" bestFit="1" customWidth="1"/>
  </cols>
  <sheetData>
    <row r="1" spans="1:1" x14ac:dyDescent="0.25">
      <c r="A1" s="5" t="s">
        <v>75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1" x14ac:dyDescent="0.25">
      <c r="A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  <row r="30" spans="1:1" x14ac:dyDescent="0.25">
      <c r="A30" t="s">
        <v>53</v>
      </c>
    </row>
    <row r="31" spans="1:1" x14ac:dyDescent="0.25">
      <c r="A31" t="s">
        <v>54</v>
      </c>
    </row>
    <row r="32" spans="1:1" x14ac:dyDescent="0.25">
      <c r="A32" t="s">
        <v>55</v>
      </c>
    </row>
    <row r="33" spans="1:1" x14ac:dyDescent="0.25">
      <c r="A33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</sheetData>
  <sheetProtection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dos Santos Souza</dc:creator>
  <cp:lastModifiedBy>Renan dos Santos Souza</cp:lastModifiedBy>
  <dcterms:created xsi:type="dcterms:W3CDTF">2026-10-17T19:52:36Z</dcterms:created>
  <dcterms:modified xsi:type="dcterms:W3CDTF">2026-10-18T00:47:12Z</dcterms:modified>
</cp:coreProperties>
</file>